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<sst xmlns="http://schemas.openxmlformats.org/spreadsheetml/2006/main" count="72" uniqueCount="34">
  <si>
    <t>DEMANDE DE PRIX</t>
  </si>
  <si>
    <t>N° Demande: DDP-20260109-866</t>
  </si>
  <si>
    <t>Date: 09/01/2026</t>
  </si>
  <si>
    <t>Email: marcellehilary.kouity.ext@endeavourmining.com</t>
  </si>
  <si>
    <t>Date limite de réponse: 23/01/2026</t>
  </si>
  <si>
    <t>N°</t>
  </si>
  <si>
    <t>Référence</t>
  </si>
  <si>
    <t>Désignation</t>
  </si>
  <si>
    <t>Quantité</t>
  </si>
  <si>
    <t>Unité</t>
  </si>
  <si>
    <t>Prix Unitaire HT</t>
  </si>
  <si>
    <t>Prix Total HT</t>
  </si>
  <si>
    <t>Observations</t>
  </si>
  <si>
    <t/>
  </si>
  <si>
    <t>Purchase Requisitions No</t>
  </si>
  <si>
    <t>pcs</t>
  </si>
  <si>
    <t>Source: PR 11132259 ARO for Fan Axial_Week01-26.pdf</t>
  </si>
  <si>
    <t>A</t>
  </si>
  <si>
    <t>xial_Week</t>
  </si>
  <si>
    <t>101EA144850FAN</t>
  </si>
  <si>
    <t>AXIAL</t>
  </si>
  <si>
    <t>HTM-56-4T</t>
  </si>
  <si>
    <t>- FAN AXIAL</t>
  </si>
  <si>
    <t>50H</t>
  </si>
  <si>
    <t>z HTM-</t>
  </si>
  <si>
    <t>Total in USD Equivalent</t>
  </si>
  <si>
    <t>P</t>
  </si>
  <si>
    <t>age</t>
  </si>
  <si>
    <t>TOTAL HT:</t>
  </si>
  <si>
    <t>TVA (20%):</t>
  </si>
  <si>
    <t>TOTAL TTC:</t>
  </si>
  <si>
    <t>INSTRUCTIONS: Veuillez remplir les cellules jaunes (Prix Unitaire HT) et retourner ce document complété.</t>
  </si>
  <si>
    <t>Notes: Demande générée à partir de l'email: "RFQ PR 11132259 ARO for Fan Axial_Week01-26" du 08/01/2026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</si>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</sst>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FormatPr defaultRowHeight="15" outlineLevelRow="0" outlineLevelCol="0" x14ac:dyDescent="55"/>
  <cols>
    <col min="1" max="1" width="8" customWidth="1"/>
    <col min="2" max="2" width="15" customWidth="1"/>
    <col min="3" max="3" width="45" customWidth="1"/>
    <col min="4" max="4" width="12" customWidth="1"/>
    <col min="5" max="5" width="10" customWidth="1"/>
    <col min="6" max="7" width="18" customWidth="1"/>
    <col min="8" max="8" width="2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1" x14ac:dyDescent="0.25">
      <c r="A3" s="2" t="s">
        <v>1</v>
      </c>
    </row>
    <row r="4" spans="1:5" x14ac:dyDescent="0.25">
      <c r="A4" t="s">
        <v>2</v>
      </c>
      <c r="E4" t="s">
        <v>3</v>
      </c>
    </row>
    <row r="5" spans="1:1" x14ac:dyDescent="0.25">
      <c r="A5" s="3" t="s">
        <v>4</v>
      </c>
    </row>
    <row r="7" ht="10" customHeight="1" x14ac:dyDescent="0.25"/>
    <row r="8" ht="25" customHeight="1" spans="1:8" s="4" customForma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8" s="6" customFormat="1" x14ac:dyDescent="0.25">
      <c r="A9" s="7">
        <v>1</v>
      </c>
      <c r="B9" s="7" t="s">
        <v>13</v>
      </c>
      <c r="C9" s="7" t="s">
        <v>14</v>
      </c>
      <c r="D9" s="8">
        <v>11132259</v>
      </c>
      <c r="E9" s="7" t="s">
        <v>15</v>
      </c>
      <c r="F9" s="9" t="s">
        <v>13</v>
      </c>
      <c r="G9" s="10">
        <f>D9*F9</f>
      </c>
      <c r="H9" s="7" t="s">
        <v>16</v>
      </c>
    </row>
    <row r="10" spans="1:8" s="6" customFormat="1" x14ac:dyDescent="0.25">
      <c r="A10" s="7">
        <v>2</v>
      </c>
      <c r="B10" s="7" t="s">
        <v>17</v>
      </c>
      <c r="C10" s="7" t="s">
        <v>18</v>
      </c>
      <c r="D10" s="8">
        <v>1</v>
      </c>
      <c r="E10" s="7" t="s">
        <v>15</v>
      </c>
      <c r="F10" s="9" t="s">
        <v>13</v>
      </c>
      <c r="G10" s="10">
        <f>D10*F10</f>
      </c>
      <c r="H10" s="7" t="s">
        <v>16</v>
      </c>
    </row>
    <row r="11" spans="1:8" s="6" customFormat="1" x14ac:dyDescent="0.25">
      <c r="A11" s="7">
        <v>3</v>
      </c>
      <c r="B11" s="7" t="s">
        <v>19</v>
      </c>
      <c r="C11" s="7" t="s">
        <v>20</v>
      </c>
      <c r="D11" s="8">
        <v>56</v>
      </c>
      <c r="E11" s="7" t="s">
        <v>15</v>
      </c>
      <c r="F11" s="9" t="s">
        <v>13</v>
      </c>
      <c r="G11" s="10">
        <f>D11*F11</f>
      </c>
      <c r="H11" s="7" t="s">
        <v>16</v>
      </c>
    </row>
    <row r="12" spans="1:8" s="6" customFormat="1" x14ac:dyDescent="0.25">
      <c r="A12" s="7">
        <v>4</v>
      </c>
      <c r="B12" s="7" t="s">
        <v>21</v>
      </c>
      <c r="C12" s="7" t="s">
        <v>22</v>
      </c>
      <c r="D12" s="8">
        <v>56</v>
      </c>
      <c r="E12" s="7" t="s">
        <v>15</v>
      </c>
      <c r="F12" s="9" t="s">
        <v>13</v>
      </c>
      <c r="G12" s="10">
        <f>D12*F12</f>
      </c>
      <c r="H12" s="7" t="s">
        <v>16</v>
      </c>
    </row>
    <row r="13" spans="1:8" s="6" customFormat="1" x14ac:dyDescent="0.25">
      <c r="A13" s="7">
        <v>5</v>
      </c>
      <c r="B13" s="7" t="s">
        <v>23</v>
      </c>
      <c r="C13" s="7" t="s">
        <v>24</v>
      </c>
      <c r="D13" s="8">
        <v>56</v>
      </c>
      <c r="E13" s="7" t="s">
        <v>15</v>
      </c>
      <c r="F13" s="9" t="s">
        <v>13</v>
      </c>
      <c r="G13" s="10">
        <f>D13*F13</f>
      </c>
      <c r="H13" s="7" t="s">
        <v>16</v>
      </c>
    </row>
    <row r="14" spans="1:8" s="6" customFormat="1" x14ac:dyDescent="0.25">
      <c r="A14" s="7">
        <v>6</v>
      </c>
      <c r="B14" s="7" t="s">
        <v>13</v>
      </c>
      <c r="C14" s="7" t="s">
        <v>25</v>
      </c>
      <c r="D14" s="8">
        <v>1</v>
      </c>
      <c r="E14" s="7" t="s">
        <v>15</v>
      </c>
      <c r="F14" s="9" t="s">
        <v>13</v>
      </c>
      <c r="G14" s="10">
        <f>D14*F14</f>
      </c>
      <c r="H14" s="7" t="s">
        <v>16</v>
      </c>
    </row>
    <row r="15" spans="1:8" s="6" customFormat="1" x14ac:dyDescent="0.25">
      <c r="A15" s="7">
        <v>7</v>
      </c>
      <c r="B15" s="7" t="s">
        <v>26</v>
      </c>
      <c r="C15" s="7" t="s">
        <v>27</v>
      </c>
      <c r="D15" s="8">
        <v>1</v>
      </c>
      <c r="E15" s="7" t="s">
        <v>15</v>
      </c>
      <c r="F15" s="9" t="s">
        <v>13</v>
      </c>
      <c r="G15" s="10">
        <f>D15*F15</f>
      </c>
      <c r="H15" s="7" t="s">
        <v>16</v>
      </c>
    </row>
    <row r="17" spans="1:8" s="2" customFormat="1" x14ac:dyDescent="0.25">
      <c r="A17" s="2" t="s">
        <v>13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28</v>
      </c>
      <c r="G17" s="11">
        <f>SUM(G9:G15)</f>
      </c>
      <c r="H17" s="2" t="s">
        <v>13</v>
      </c>
    </row>
    <row r="18" spans="1:8" x14ac:dyDescent="0.25">
      <c r="A18" t="s">
        <v>13</v>
      </c>
      <c r="B18" t="s">
        <v>13</v>
      </c>
      <c r="C18" t="s">
        <v>13</v>
      </c>
      <c r="D18" t="s">
        <v>13</v>
      </c>
      <c r="E18" t="s">
        <v>13</v>
      </c>
      <c r="F18" t="s">
        <v>29</v>
      </c>
      <c r="G18" s="12">
        <f>G17*0.2</f>
      </c>
      <c r="H18" t="s">
        <v>13</v>
      </c>
    </row>
    <row r="19" spans="1:8" s="13" customFormat="1" x14ac:dyDescent="0.25">
      <c r="A19" s="13" t="s">
        <v>13</v>
      </c>
      <c r="B19" s="13" t="s">
        <v>13</v>
      </c>
      <c r="C19" s="13" t="s">
        <v>13</v>
      </c>
      <c r="D19" s="13" t="s">
        <v>13</v>
      </c>
      <c r="E19" s="13" t="s">
        <v>13</v>
      </c>
      <c r="F19" s="13" t="s">
        <v>30</v>
      </c>
      <c r="G19" s="14">
        <f>G17+G18</f>
      </c>
      <c r="H19" s="13" t="s">
        <v>13</v>
      </c>
    </row>
    <row r="21" spans="1:8" x14ac:dyDescent="0.25">
      <c r="A21" s="15" t="s">
        <v>31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6" t="s">
        <v>32</v>
      </c>
      <c r="B22" s="16"/>
      <c r="C22" s="16"/>
      <c r="D22" s="16"/>
      <c r="E22" s="16"/>
      <c r="F22" s="16"/>
      <c r="G22" s="16"/>
      <c r="H22" s="16"/>
    </row>
    <row r="23" spans="1:8" x14ac:dyDescent="0.25">
      <c r="A23" s="16"/>
      <c r="B23" s="16"/>
      <c r="C23" s="16"/>
      <c r="D23" s="16"/>
      <c r="E23" s="16"/>
      <c r="F23" s="16"/>
      <c r="G23" s="16"/>
      <c r="H23" s="16"/>
    </row>
    <row r="25" spans="1:8" x14ac:dyDescent="0.25">
      <c r="A25" s="17" t="s">
        <v>33</v>
      </c>
      <c r="B25" s="17"/>
      <c r="C25" s="17"/>
      <c r="D25" s="17"/>
      <c r="E25" s="17"/>
      <c r="F25" s="17"/>
      <c r="G25" s="17"/>
      <c r="H25" s="17"/>
    </row>
    <row r="26" spans="1:8" x14ac:dyDescent="0.25">
      <c r="A26" s="17"/>
      <c r="B26" s="17"/>
      <c r="C26" s="17"/>
      <c r="D26" s="17"/>
      <c r="E26" s="17"/>
      <c r="F26" s="17"/>
      <c r="G26" s="17"/>
      <c r="H26" s="17"/>
    </row>
    <row r="27" spans="1:8" x14ac:dyDescent="0.25">
      <c r="A27" s="17"/>
      <c r="B27" s="17"/>
      <c r="C27" s="17"/>
      <c r="D27" s="17"/>
      <c r="E27" s="17"/>
      <c r="F27" s="17"/>
      <c r="G27" s="17"/>
      <c r="H27" s="17"/>
    </row>
  </sheetData>
  <sheetProtection sheet="1" algorithmName="SHA-512" hashValue="5ENdTzi8ze1RhmzPCzaERVqPgBZzOzMjUUt/KjN/XXdLzGRsZGrx10AShKgDyeZBOGKoD0bFtB7iy37jF2ipNQ==" saltValue="+1FZrxQ1VKi7aaQNhPJkeQ==" spinCount="100000"/>
  <mergeCells count="4">
    <mergeCell ref="A1:H1"/>
    <mergeCell ref="A21:H21"/>
    <mergeCell ref="A22:H23"/>
    <mergeCell ref="A25:H2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2026-01-09T08:43:26Z</dcterms:created>
  <dcterms:modified xsi:type="dcterms:W3CDTF">2026-01-09T08:43:26Z</dcterms:modified>
</cp:coreProperties>
</file>